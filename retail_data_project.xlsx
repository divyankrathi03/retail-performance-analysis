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evesh Rathi\Downloads\"/>
    </mc:Choice>
  </mc:AlternateContent>
  <xr:revisionPtr revIDLastSave="0" documentId="13_ncr:1_{6479DEB5-3F5B-41C6-87CE-76783F0A2FD8}" xr6:coauthVersionLast="47" xr6:coauthVersionMax="47" xr10:uidLastSave="{00000000-0000-0000-0000-000000000000}"/>
  <bookViews>
    <workbookView xWindow="-110" yWindow="-110" windowWidth="19420" windowHeight="10300" activeTab="3" xr2:uid="{6EC49D97-3A69-4CF2-9F76-7DC0AA54BEB8}"/>
  </bookViews>
  <sheets>
    <sheet name="Revenue by region" sheetId="2" r:id="rId1"/>
    <sheet name="Revenue by Product" sheetId="4" r:id="rId2"/>
    <sheet name="Revenue by store" sheetId="5" r:id="rId3"/>
    <sheet name="Dashboard" sheetId="6" r:id="rId4"/>
    <sheet name="Data" sheetId="1" r:id="rId5"/>
  </sheets>
  <definedNames>
    <definedName name="Slicer_Product">#N/A</definedName>
    <definedName name="Slicer_Region">#N/A</definedName>
    <definedName name="Slicer_Store">#N/A</definedName>
  </definedNames>
  <calcPr calcId="191029"/>
  <pivotCaches>
    <pivotCache cacheId="5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4" i="1"/>
  <c r="K5" i="1"/>
  <c r="K6" i="1"/>
  <c r="K7" i="1"/>
  <c r="K8" i="1"/>
  <c r="K9" i="1"/>
  <c r="K10" i="1"/>
  <c r="K16" i="1"/>
  <c r="K17" i="1"/>
  <c r="K18" i="1"/>
  <c r="K19" i="1"/>
  <c r="K20" i="1"/>
  <c r="K21" i="1"/>
  <c r="J2" i="1"/>
  <c r="J3" i="1"/>
  <c r="K3" i="1" s="1"/>
  <c r="J4" i="1"/>
  <c r="J5" i="1"/>
  <c r="J6" i="1"/>
  <c r="J7" i="1"/>
  <c r="J8" i="1"/>
  <c r="J9" i="1"/>
  <c r="J10" i="1"/>
  <c r="J11" i="1"/>
  <c r="K11" i="1" s="1"/>
  <c r="J12" i="1"/>
  <c r="K12" i="1" s="1"/>
  <c r="J13" i="1"/>
  <c r="K13" i="1" s="1"/>
  <c r="J14" i="1"/>
  <c r="K14" i="1" s="1"/>
  <c r="J15" i="1"/>
  <c r="K15" i="1" s="1"/>
  <c r="J16" i="1"/>
  <c r="J17" i="1"/>
  <c r="J18" i="1"/>
  <c r="J19" i="1"/>
  <c r="J20" i="1"/>
  <c r="J21" i="1"/>
</calcChain>
</file>

<file path=xl/sharedStrings.xml><?xml version="1.0" encoding="utf-8"?>
<sst xmlns="http://schemas.openxmlformats.org/spreadsheetml/2006/main" count="114" uniqueCount="30">
  <si>
    <t>OrderID</t>
  </si>
  <si>
    <t>Date</t>
  </si>
  <si>
    <t>Region</t>
  </si>
  <si>
    <t>Store</t>
  </si>
  <si>
    <t>Category</t>
  </si>
  <si>
    <t>Product</t>
  </si>
  <si>
    <t>Units_Sold</t>
  </si>
  <si>
    <t>Price</t>
  </si>
  <si>
    <t>Discount</t>
  </si>
  <si>
    <t>North</t>
  </si>
  <si>
    <t>Delhi</t>
  </si>
  <si>
    <t>Electronics</t>
  </si>
  <si>
    <t>Phone A</t>
  </si>
  <si>
    <t>South</t>
  </si>
  <si>
    <t>Bangalore</t>
  </si>
  <si>
    <t>Phone B</t>
  </si>
  <si>
    <t>East</t>
  </si>
  <si>
    <t>Kolkata</t>
  </si>
  <si>
    <t>Accessories</t>
  </si>
  <si>
    <t>Charger</t>
  </si>
  <si>
    <t>West</t>
  </si>
  <si>
    <t>Mumbai</t>
  </si>
  <si>
    <t>Laptop A</t>
  </si>
  <si>
    <t>Headphones</t>
  </si>
  <si>
    <t xml:space="preserve">Net Price </t>
  </si>
  <si>
    <t>Revenue</t>
  </si>
  <si>
    <t>Row Labels</t>
  </si>
  <si>
    <t>Grand Total</t>
  </si>
  <si>
    <t>Sum of Revenue</t>
  </si>
  <si>
    <r>
      <rPr>
        <sz val="20"/>
        <color theme="1"/>
        <rFont val="Arial"/>
        <family val="2"/>
      </rPr>
      <t xml:space="preserve">                                                                                    </t>
    </r>
    <r>
      <rPr>
        <sz val="28"/>
        <color theme="1" tint="4.9989318521683403E-2"/>
        <rFont val="Arial"/>
        <family val="2"/>
      </rPr>
      <t>Revenue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</si>
</sst>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9"/>
      <color theme="1"/>
      <name val="Arial"/>
      <family val="2"/>
    </font>
    <font>
      <sz val="8"/>
      <name val="Arial"/>
      <family val="2"/>
    </font>
    <font>
      <sz val="20"/>
      <color theme="1"/>
      <name val="Arial"/>
      <family val="2"/>
    </font>
    <font>
      <sz val="28"/>
      <color theme="1" tint="4.9989318521683403E-2"/>
      <name val="Arial"/>
      <family val="2"/>
    </font>
  </fonts>
  <fills count="4">
    <fill>
      <patternFill patternType="none"/>
    </fill>
    <fill>
      <patternFill patternType="gray125"/>
    </fill>
    <fill>
      <patternFill patternType="solid">
        <fgColor theme="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0" fillId="3" borderId="0" xfId="0" applyFill="1"/>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[retail_data_project.xlsx]Revenue by region!PivotTable3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Regional Revenue Distribution</a:t>
            </a:r>
            <a:endParaRPr lang="en-IN"/>
          </a:p>
        </c:rich>
      </c:tx>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cat>
            <c:strRef>
              <c:f>'Revenue by region'!$A$4:$A$8</c:f>
              <c:strCache>
                <c:ptCount val="4"/>
                <c:pt idx="0">
                  <c:v>East</c:v>
                </c:pt>
                <c:pt idx="1">
                  <c:v>North</c:v>
                </c:pt>
                <c:pt idx="2">
                  <c:v>South</c:v>
                </c:pt>
                <c:pt idx="3">
                  <c:v>West</c:v>
                </c:pt>
              </c:strCache>
            </c:strRef>
          </c:cat>
          <c:val>
            <c:numRef>
              <c:f>'Revenue by region'!$B$4:$B$8</c:f>
              <c:numCache>
                <c:formatCode>General</c:formatCode>
                <c:ptCount val="4"/>
                <c:pt idx="0">
                  <c:v>172400</c:v>
                </c:pt>
                <c:pt idx="1">
                  <c:v>201600</c:v>
                </c:pt>
                <c:pt idx="2">
                  <c:v>247750</c:v>
                </c:pt>
                <c:pt idx="3">
                  <c:v>248050</c:v>
                </c:pt>
              </c:numCache>
            </c:numRef>
          </c:val>
          <c:extLst>
            <c:ext xmlns:c16="http://schemas.microsoft.com/office/drawing/2014/chart" uri="{C3380CC4-5D6E-409C-BE32-E72D297353CC}">
              <c16:uniqueId val="{00000000-139E-409E-A6BE-1DE41924812D}"/>
            </c:ext>
          </c:extLst>
        </c:ser>
        <c:dLbls>
          <c:showLegendKey val="0"/>
          <c:showVal val="0"/>
          <c:showCatName val="0"/>
          <c:showSerName val="0"/>
          <c:showPercent val="0"/>
          <c:showBubbleSize val="0"/>
        </c:dLbls>
        <c:gapWidth val="100"/>
        <c:overlap val="-24"/>
        <c:axId val="1515528096"/>
        <c:axId val="1515530016"/>
      </c:barChart>
      <c:catAx>
        <c:axId val="1515528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30016"/>
        <c:crosses val="autoZero"/>
        <c:auto val="1"/>
        <c:lblAlgn val="ctr"/>
        <c:lblOffset val="100"/>
        <c:noMultiLvlLbl val="0"/>
      </c:catAx>
      <c:valAx>
        <c:axId val="151553001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2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[retail_data_project.xlsx]Revenue by Product!PivotTable6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(After Discounts)</a:t>
            </a:r>
            <a:endParaRPr lang="en-US"/>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cat>
            <c:strRef>
              <c:f>'Revenue by Product'!$A$4:$A$9</c:f>
              <c:strCache>
                <c:ptCount val="5"/>
                <c:pt idx="0">
                  <c:v>Charger</c:v>
                </c:pt>
                <c:pt idx="1">
                  <c:v>Headphones</c:v>
                </c:pt>
                <c:pt idx="2">
                  <c:v>Laptop A</c:v>
                </c:pt>
                <c:pt idx="3">
                  <c:v>Phone A</c:v>
                </c:pt>
                <c:pt idx="4">
                  <c:v>Phone B</c:v>
                </c:pt>
              </c:strCache>
            </c:strRef>
          </c:cat>
          <c:val>
            <c:numRef>
              <c:f>'Revenue by Product'!$B$4:$B$9</c:f>
              <c:numCache>
                <c:formatCode>General</c:formatCode>
                <c:ptCount val="5"/>
                <c:pt idx="0">
                  <c:v>75400</c:v>
                </c:pt>
                <c:pt idx="1">
                  <c:v>64800</c:v>
                </c:pt>
                <c:pt idx="2">
                  <c:v>330000</c:v>
                </c:pt>
                <c:pt idx="3">
                  <c:v>225600</c:v>
                </c:pt>
                <c:pt idx="4">
                  <c:v>174000</c:v>
                </c:pt>
              </c:numCache>
            </c:numRef>
          </c:val>
          <c:extLst>
            <c:ext xmlns:c16="http://schemas.microsoft.com/office/drawing/2014/chart" uri="{C3380CC4-5D6E-409C-BE32-E72D297353CC}">
              <c16:uniqueId val="{00000000-7D81-47AE-A472-F1D8B209E038}"/>
            </c:ext>
          </c:extLst>
        </c:ser>
        <c:dLbls>
          <c:showLegendKey val="0"/>
          <c:showVal val="0"/>
          <c:showCatName val="0"/>
          <c:showSerName val="0"/>
          <c:showPercent val="0"/>
          <c:showBubbleSize val="0"/>
        </c:dLbls>
        <c:gapWidth val="219"/>
        <c:overlap val="-27"/>
        <c:axId val="1581692960"/>
        <c:axId val="1581693440"/>
      </c:barChart>
      <c:catAx>
        <c:axId val="158169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6950568678915133"/>
              <c:y val="0.893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93440"/>
        <c:crosses val="autoZero"/>
        <c:auto val="1"/>
        <c:lblAlgn val="ctr"/>
        <c:lblOffset val="100"/>
        <c:noMultiLvlLbl val="0"/>
      </c:catAx>
      <c:valAx>
        <c:axId val="1581693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2.7777777777777776E-2"/>
              <c:y val="0.343325678040244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9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[retail_data_project.xlsx]Revenue by store!PivotTable7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store'!$B$3</c:f>
              <c:strCache>
                <c:ptCount val="1"/>
                <c:pt idx="0">
                  <c:v>Total</c:v>
                </c:pt>
              </c:strCache>
            </c:strRef>
          </c:tx>
          <c:spPr>
            <a:solidFill>
              <a:schemeClr val="accent1"/>
            </a:solidFill>
            <a:ln>
              <a:noFill/>
            </a:ln>
            <a:effectLst/>
          </c:spPr>
          <c:invertIfNegative val="0"/>
          <c:cat>
            <c:strRef>
              <c:f>'Revenue by store'!$A$4:$A$8</c:f>
              <c:strCache>
                <c:ptCount val="4"/>
                <c:pt idx="0">
                  <c:v>Bangalore</c:v>
                </c:pt>
                <c:pt idx="1">
                  <c:v>Delhi</c:v>
                </c:pt>
                <c:pt idx="2">
                  <c:v>Kolkata</c:v>
                </c:pt>
                <c:pt idx="3">
                  <c:v>Mumbai</c:v>
                </c:pt>
              </c:strCache>
            </c:strRef>
          </c:cat>
          <c:val>
            <c:numRef>
              <c:f>'Revenue by store'!$B$4:$B$8</c:f>
              <c:numCache>
                <c:formatCode>General</c:formatCode>
                <c:ptCount val="4"/>
                <c:pt idx="0">
                  <c:v>247750</c:v>
                </c:pt>
                <c:pt idx="1">
                  <c:v>201600</c:v>
                </c:pt>
                <c:pt idx="2">
                  <c:v>172400</c:v>
                </c:pt>
                <c:pt idx="3">
                  <c:v>248050</c:v>
                </c:pt>
              </c:numCache>
            </c:numRef>
          </c:val>
          <c:extLst>
            <c:ext xmlns:c16="http://schemas.microsoft.com/office/drawing/2014/chart" uri="{C3380CC4-5D6E-409C-BE32-E72D297353CC}">
              <c16:uniqueId val="{00000000-1D42-4DD6-87B6-B530C886DC45}"/>
            </c:ext>
          </c:extLst>
        </c:ser>
        <c:dLbls>
          <c:showLegendKey val="0"/>
          <c:showVal val="0"/>
          <c:showCatName val="0"/>
          <c:showSerName val="0"/>
          <c:showPercent val="0"/>
          <c:showBubbleSize val="0"/>
        </c:dLbls>
        <c:gapWidth val="182"/>
        <c:axId val="1579523792"/>
        <c:axId val="1579521392"/>
      </c:barChart>
      <c:catAx>
        <c:axId val="157952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21392"/>
        <c:crosses val="autoZero"/>
        <c:auto val="1"/>
        <c:lblAlgn val="ctr"/>
        <c:lblOffset val="100"/>
        <c:noMultiLvlLbl val="0"/>
      </c:catAx>
      <c:valAx>
        <c:axId val="157952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[retail_data_project.xlsx]Revenue by store!PivotTable7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store'!$B$3</c:f>
              <c:strCache>
                <c:ptCount val="1"/>
                <c:pt idx="0">
                  <c:v>Total</c:v>
                </c:pt>
              </c:strCache>
            </c:strRef>
          </c:tx>
          <c:spPr>
            <a:solidFill>
              <a:schemeClr val="accent1"/>
            </a:solidFill>
            <a:ln>
              <a:noFill/>
            </a:ln>
            <a:effectLst/>
          </c:spPr>
          <c:invertIfNegative val="0"/>
          <c:cat>
            <c:strRef>
              <c:f>'Revenue by store'!$A$4:$A$8</c:f>
              <c:strCache>
                <c:ptCount val="4"/>
                <c:pt idx="0">
                  <c:v>Bangalore</c:v>
                </c:pt>
                <c:pt idx="1">
                  <c:v>Delhi</c:v>
                </c:pt>
                <c:pt idx="2">
                  <c:v>Kolkata</c:v>
                </c:pt>
                <c:pt idx="3">
                  <c:v>Mumbai</c:v>
                </c:pt>
              </c:strCache>
            </c:strRef>
          </c:cat>
          <c:val>
            <c:numRef>
              <c:f>'Revenue by store'!$B$4:$B$8</c:f>
              <c:numCache>
                <c:formatCode>General</c:formatCode>
                <c:ptCount val="4"/>
                <c:pt idx="0">
                  <c:v>247750</c:v>
                </c:pt>
                <c:pt idx="1">
                  <c:v>201600</c:v>
                </c:pt>
                <c:pt idx="2">
                  <c:v>172400</c:v>
                </c:pt>
                <c:pt idx="3">
                  <c:v>248050</c:v>
                </c:pt>
              </c:numCache>
            </c:numRef>
          </c:val>
          <c:extLst>
            <c:ext xmlns:c16="http://schemas.microsoft.com/office/drawing/2014/chart" uri="{C3380CC4-5D6E-409C-BE32-E72D297353CC}">
              <c16:uniqueId val="{00000000-FDA5-44E3-93A3-9061937B9AAB}"/>
            </c:ext>
          </c:extLst>
        </c:ser>
        <c:dLbls>
          <c:showLegendKey val="0"/>
          <c:showVal val="0"/>
          <c:showCatName val="0"/>
          <c:showSerName val="0"/>
          <c:showPercent val="0"/>
          <c:showBubbleSize val="0"/>
        </c:dLbls>
        <c:gapWidth val="182"/>
        <c:axId val="1579523792"/>
        <c:axId val="1579521392"/>
      </c:barChart>
      <c:catAx>
        <c:axId val="157952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21392"/>
        <c:crosses val="autoZero"/>
        <c:auto val="1"/>
        <c:lblAlgn val="ctr"/>
        <c:lblOffset val="100"/>
        <c:noMultiLvlLbl val="0"/>
      </c:catAx>
      <c:valAx>
        <c:axId val="157952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[retail_data_project.xlsx]Revenue by Product!PivotTable6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cat>
            <c:strRef>
              <c:f>'Revenue by Product'!$A$4:$A$9</c:f>
              <c:strCache>
                <c:ptCount val="5"/>
                <c:pt idx="0">
                  <c:v>Charger</c:v>
                </c:pt>
                <c:pt idx="1">
                  <c:v>Headphones</c:v>
                </c:pt>
                <c:pt idx="2">
                  <c:v>Laptop A</c:v>
                </c:pt>
                <c:pt idx="3">
                  <c:v>Phone A</c:v>
                </c:pt>
                <c:pt idx="4">
                  <c:v>Phone B</c:v>
                </c:pt>
              </c:strCache>
            </c:strRef>
          </c:cat>
          <c:val>
            <c:numRef>
              <c:f>'Revenue by Product'!$B$4:$B$9</c:f>
              <c:numCache>
                <c:formatCode>General</c:formatCode>
                <c:ptCount val="5"/>
                <c:pt idx="0">
                  <c:v>75400</c:v>
                </c:pt>
                <c:pt idx="1">
                  <c:v>64800</c:v>
                </c:pt>
                <c:pt idx="2">
                  <c:v>330000</c:v>
                </c:pt>
                <c:pt idx="3">
                  <c:v>225600</c:v>
                </c:pt>
                <c:pt idx="4">
                  <c:v>174000</c:v>
                </c:pt>
              </c:numCache>
            </c:numRef>
          </c:val>
          <c:extLst>
            <c:ext xmlns:c16="http://schemas.microsoft.com/office/drawing/2014/chart" uri="{C3380CC4-5D6E-409C-BE32-E72D297353CC}">
              <c16:uniqueId val="{00000000-C477-4CE9-A60D-07169E79B8F5}"/>
            </c:ext>
          </c:extLst>
        </c:ser>
        <c:dLbls>
          <c:showLegendKey val="0"/>
          <c:showVal val="0"/>
          <c:showCatName val="0"/>
          <c:showSerName val="0"/>
          <c:showPercent val="0"/>
          <c:showBubbleSize val="0"/>
        </c:dLbls>
        <c:gapWidth val="219"/>
        <c:overlap val="-27"/>
        <c:axId val="1581692960"/>
        <c:axId val="1581693440"/>
      </c:barChart>
      <c:catAx>
        <c:axId val="158169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50403019746374245"/>
              <c:y val="0.884377395705000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93440"/>
        <c:crosses val="autoZero"/>
        <c:auto val="1"/>
        <c:lblAlgn val="ctr"/>
        <c:lblOffset val="100"/>
        <c:noMultiLvlLbl val="0"/>
      </c:catAx>
      <c:valAx>
        <c:axId val="1581693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2.7777777777777776E-2"/>
              <c:y val="0.343325678040244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9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[retail_data_project.xlsx]Revenue by region!PivotTable3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Regional Revenue Distribution</a:t>
            </a:r>
            <a:endParaRPr lang="en-IN"/>
          </a:p>
        </c:rich>
      </c:tx>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8880908328827"/>
          <c:y val="0.12975121504309764"/>
          <c:w val="0.83958852398422956"/>
          <c:h val="0.6957832696642241"/>
        </c:manualLayout>
      </c:layout>
      <c:barChart>
        <c:barDir val="col"/>
        <c:grouping val="clustered"/>
        <c:varyColors val="0"/>
        <c:ser>
          <c:idx val="0"/>
          <c:order val="0"/>
          <c:tx>
            <c:strRef>
              <c:f>'Revenue by region'!$B$3</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cat>
            <c:strRef>
              <c:f>'Revenue by region'!$A$4:$A$8</c:f>
              <c:strCache>
                <c:ptCount val="4"/>
                <c:pt idx="0">
                  <c:v>East</c:v>
                </c:pt>
                <c:pt idx="1">
                  <c:v>North</c:v>
                </c:pt>
                <c:pt idx="2">
                  <c:v>South</c:v>
                </c:pt>
                <c:pt idx="3">
                  <c:v>West</c:v>
                </c:pt>
              </c:strCache>
            </c:strRef>
          </c:cat>
          <c:val>
            <c:numRef>
              <c:f>'Revenue by region'!$B$4:$B$8</c:f>
              <c:numCache>
                <c:formatCode>General</c:formatCode>
                <c:ptCount val="4"/>
                <c:pt idx="0">
                  <c:v>172400</c:v>
                </c:pt>
                <c:pt idx="1">
                  <c:v>201600</c:v>
                </c:pt>
                <c:pt idx="2">
                  <c:v>247750</c:v>
                </c:pt>
                <c:pt idx="3">
                  <c:v>248050</c:v>
                </c:pt>
              </c:numCache>
            </c:numRef>
          </c:val>
          <c:extLst>
            <c:ext xmlns:c16="http://schemas.microsoft.com/office/drawing/2014/chart" uri="{C3380CC4-5D6E-409C-BE32-E72D297353CC}">
              <c16:uniqueId val="{00000001-EC79-4B61-91F3-B253EDA71AA7}"/>
            </c:ext>
          </c:extLst>
        </c:ser>
        <c:dLbls>
          <c:showLegendKey val="0"/>
          <c:showVal val="0"/>
          <c:showCatName val="0"/>
          <c:showSerName val="0"/>
          <c:showPercent val="0"/>
          <c:showBubbleSize val="0"/>
        </c:dLbls>
        <c:gapWidth val="100"/>
        <c:overlap val="-24"/>
        <c:axId val="1515528096"/>
        <c:axId val="1515530016"/>
      </c:barChart>
      <c:catAx>
        <c:axId val="1515528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30016"/>
        <c:crosses val="autoZero"/>
        <c:auto val="1"/>
        <c:lblAlgn val="ctr"/>
        <c:lblOffset val="100"/>
        <c:noMultiLvlLbl val="0"/>
      </c:catAx>
      <c:valAx>
        <c:axId val="151553001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2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377825</xdr:colOff>
      <xdr:row>1</xdr:row>
      <xdr:rowOff>107950</xdr:rowOff>
    </xdr:from>
    <xdr:to>
      <xdr:col>9</xdr:col>
      <xdr:colOff>504825</xdr:colOff>
      <xdr:row>20</xdr:row>
      <xdr:rowOff>76200</xdr:rowOff>
    </xdr:to>
    <xdr:graphicFrame macro="">
      <xdr:nvGraphicFramePr>
        <xdr:cNvPr id="3" name="Chart 2">
          <a:extLst>
            <a:ext uri="{FF2B5EF4-FFF2-40B4-BE49-F238E27FC236}">
              <a16:creationId xmlns:a16="http://schemas.microsoft.com/office/drawing/2014/main" id="{DB2EEC31-D68E-B9B8-EE37-186546E15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460375</xdr:colOff>
      <xdr:row>2</xdr:row>
      <xdr:rowOff>12700</xdr:rowOff>
    </xdr:from>
    <xdr:to>
      <xdr:col>11</xdr:col>
      <xdr:colOff>3175</xdr:colOff>
      <xdr:row>20</xdr:row>
      <xdr:rowOff>127000</xdr:rowOff>
    </xdr:to>
    <xdr:graphicFrame macro="">
      <xdr:nvGraphicFramePr>
        <xdr:cNvPr id="2" name="Chart 1">
          <a:extLst>
            <a:ext uri="{FF2B5EF4-FFF2-40B4-BE49-F238E27FC236}">
              <a16:creationId xmlns:a16="http://schemas.microsoft.com/office/drawing/2014/main" id="{CF386FD8-909A-212D-958A-9906BCD89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254000</xdr:colOff>
      <xdr:row>1</xdr:row>
      <xdr:rowOff>50800</xdr:rowOff>
    </xdr:from>
    <xdr:to>
      <xdr:col>10</xdr:col>
      <xdr:colOff>355600</xdr:colOff>
      <xdr:row>20</xdr:row>
      <xdr:rowOff>19050</xdr:rowOff>
    </xdr:to>
    <xdr:graphicFrame macro="">
      <xdr:nvGraphicFramePr>
        <xdr:cNvPr id="3" name="Chart 2">
          <a:extLst>
            <a:ext uri="{FF2B5EF4-FFF2-40B4-BE49-F238E27FC236}">
              <a16:creationId xmlns:a16="http://schemas.microsoft.com/office/drawing/2014/main" id="{4519F153-094E-E028-92DD-B4E4BDD85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266884</xdr:colOff>
      <xdr:row>4</xdr:row>
      <xdr:rowOff>9203</xdr:rowOff>
    </xdr:from>
    <xdr:to>
      <xdr:col>18</xdr:col>
      <xdr:colOff>245622</xdr:colOff>
      <xdr:row>22</xdr:row>
      <xdr:rowOff>123504</xdr:rowOff>
    </xdr:to>
    <xdr:graphicFrame macro="">
      <xdr:nvGraphicFramePr>
        <xdr:cNvPr id="2" name="Chart 1">
          <a:extLst>
            <a:ext uri="{FF2B5EF4-FFF2-40B4-BE49-F238E27FC236}">
              <a16:creationId xmlns:a16="http://schemas.microsoft.com/office/drawing/2014/main" id="{75D16922-A953-4C07-9EBF-3416E758F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254824</xdr:colOff>
      <xdr:row>4</xdr:row>
      <xdr:rowOff>9202</xdr:rowOff>
    </xdr:from>
    <xdr:to>
      <xdr:col>26</xdr:col>
      <xdr:colOff>57901</xdr:colOff>
      <xdr:row>22</xdr:row>
      <xdr:rowOff>123503</xdr:rowOff>
    </xdr:to>
    <xdr:graphicFrame macro="">
      <xdr:nvGraphicFramePr>
        <xdr:cNvPr id="3" name="Chart 2">
          <a:extLst>
            <a:ext uri="{FF2B5EF4-FFF2-40B4-BE49-F238E27FC236}">
              <a16:creationId xmlns:a16="http://schemas.microsoft.com/office/drawing/2014/main" id="{511F20FB-CDA5-4094-956A-1F3EA1076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445349</xdr:colOff>
      <xdr:row>22</xdr:row>
      <xdr:rowOff>127647</xdr:rowOff>
    </xdr:from>
    <xdr:to>
      <xdr:col>18</xdr:col>
      <xdr:colOff>26739</xdr:colOff>
      <xdr:row>31</xdr:row>
      <xdr:rowOff>18405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DF75D3E-4C6A-6C4C-A1A1-2B761AF36A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04624" y="3367067"/>
              <a:ext cx="1826898" cy="1215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292507</xdr:colOff>
      <xdr:row>22</xdr:row>
      <xdr:rowOff>121314</xdr:rowOff>
    </xdr:from>
    <xdr:to>
      <xdr:col>14</xdr:col>
      <xdr:colOff>435272</xdr:colOff>
      <xdr:row>31</xdr:row>
      <xdr:rowOff>64421</xdr:rowOff>
    </xdr:to>
    <mc:AlternateContent xmlns:mc="http://schemas.openxmlformats.org/markup-compatibility/2006">
      <mc:Choice xmlns:a14="http://schemas.microsoft.com/office/drawing/2010/main" Requires="a14">
        <xdr:graphicFrame macro="">
          <xdr:nvGraphicFramePr>
            <xdr:cNvPr id="6" name="Store">
              <a:extLst>
                <a:ext uri="{FF2B5EF4-FFF2-40B4-BE49-F238E27FC236}">
                  <a16:creationId xmlns:a16="http://schemas.microsoft.com/office/drawing/2014/main" id="{6732D08F-D834-B022-AF19-F13147BB9B66}"/>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6467652" y="3360734"/>
              <a:ext cx="1826895" cy="126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26696</xdr:colOff>
      <xdr:row>22</xdr:row>
      <xdr:rowOff>119638</xdr:rowOff>
    </xdr:from>
    <xdr:to>
      <xdr:col>21</xdr:col>
      <xdr:colOff>169464</xdr:colOff>
      <xdr:row>32</xdr:row>
      <xdr:rowOff>82827</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8EA4C59F-CBDE-DDF2-4FFF-191F64211E5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131479" y="3359058"/>
              <a:ext cx="1826898" cy="1435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110434</xdr:rowOff>
    </xdr:from>
    <xdr:to>
      <xdr:col>11</xdr:col>
      <xdr:colOff>276087</xdr:colOff>
      <xdr:row>32</xdr:row>
      <xdr:rowOff>64419</xdr:rowOff>
    </xdr:to>
    <xdr:graphicFrame macro="">
      <xdr:nvGraphicFramePr>
        <xdr:cNvPr id="7" name="Chart 6">
          <a:extLst>
            <a:ext uri="{FF2B5EF4-FFF2-40B4-BE49-F238E27FC236}">
              <a16:creationId xmlns:a16="http://schemas.microsoft.com/office/drawing/2014/main" id="{BACA8E85-9C74-4D0F-B48D-70B57A023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Rathi" refreshedDate="46038.015330555558" createdVersion="8" refreshedVersion="8" minRefreshableVersion="3" recordCount="20" xr:uid="{5A9CC8EB-7C0A-4E50-B098-4F9B778E5354}">
  <cacheSource type="worksheet">
    <worksheetSource name="Table1"/>
  </cacheSource>
  <cacheFields count="11">
    <cacheField name="OrderID" numFmtId="0">
      <sharedItems containsSemiMixedTypes="0" containsString="0" containsNumber="1" containsInteger="1" minValue="1001" maxValue="1020"/>
    </cacheField>
    <cacheField name="Date" numFmtId="14">
      <sharedItems containsSemiMixedTypes="0" containsNonDate="0" containsDate="1" containsString="0" minDate="2025-01-01T00:00:00" maxDate="2025-01-07T00:00:00"/>
    </cacheField>
    <cacheField name="Region" numFmtId="0">
      <sharedItems containsBlank="1" count="5">
        <s v="North"/>
        <s v="South"/>
        <s v="East"/>
        <s v="West"/>
        <m u="1"/>
      </sharedItems>
    </cacheField>
    <cacheField name="Store" numFmtId="0">
      <sharedItems containsBlank="1" count="5">
        <s v="Delhi"/>
        <s v="Bangalore"/>
        <s v="Kolkata"/>
        <s v="Mumbai"/>
        <m u="1"/>
      </sharedItems>
    </cacheField>
    <cacheField name="Category" numFmtId="0">
      <sharedItems/>
    </cacheField>
    <cacheField name="Product" numFmtId="0">
      <sharedItems containsBlank="1" count="6">
        <s v="Phone A"/>
        <s v="Phone B"/>
        <s v="Charger"/>
        <s v="Laptop A"/>
        <s v="Headphones"/>
        <m u="1"/>
      </sharedItems>
    </cacheField>
    <cacheField name="Units_Sold" numFmtId="0">
      <sharedItems containsSemiMixedTypes="0" containsString="0" containsNumber="1" containsInteger="1" minValue="1" maxValue="35"/>
    </cacheField>
    <cacheField name="Price" numFmtId="0">
      <sharedItems containsSemiMixedTypes="0" containsString="0" containsNumber="1" containsInteger="1" minValue="800" maxValue="55000"/>
    </cacheField>
    <cacheField name="Discount" numFmtId="0">
      <sharedItems containsSemiMixedTypes="0" containsString="0" containsNumber="1" minValue="0" maxValue="0.2"/>
    </cacheField>
    <cacheField name="Net Price " numFmtId="0">
      <sharedItems containsSemiMixedTypes="0" containsString="0" containsNumber="1" containsInteger="1" minValue="640" maxValue="55000"/>
    </cacheField>
    <cacheField name="Revenue" numFmtId="0">
      <sharedItems containsSemiMixedTypes="0" containsString="0" containsNumber="1" containsInteger="1" minValue="1800" maxValue="110000"/>
    </cacheField>
  </cacheFields>
  <extLst>
    <ext xmlns:x14="http://schemas.microsoft.com/office/spreadsheetml/2009/9/main" uri="{725AE2AE-9491-48be-B2B4-4EB974FC3084}">
      <x14:pivotCacheDefinition pivotCacheId="1329766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5-01-01T00:00:00"/>
    <x v="0"/>
    <x v="0"/>
    <s v="Electronics"/>
    <x v="0"/>
    <n v="5"/>
    <n v="12000"/>
    <n v="0"/>
    <n v="12000"/>
    <n v="60000"/>
  </r>
  <r>
    <n v="1002"/>
    <d v="2025-01-01T00:00:00"/>
    <x v="1"/>
    <x v="1"/>
    <s v="Electronics"/>
    <x v="1"/>
    <n v="3"/>
    <n v="15000"/>
    <n v="0.05"/>
    <n v="14250"/>
    <n v="42750"/>
  </r>
  <r>
    <n v="1003"/>
    <d v="2025-01-01T00:00:00"/>
    <x v="2"/>
    <x v="2"/>
    <s v="Accessories"/>
    <x v="2"/>
    <n v="20"/>
    <n v="800"/>
    <n v="0.1"/>
    <n v="720"/>
    <n v="14400"/>
  </r>
  <r>
    <n v="1004"/>
    <d v="2025-01-02T00:00:00"/>
    <x v="3"/>
    <x v="3"/>
    <s v="Electronics"/>
    <x v="3"/>
    <n v="2"/>
    <n v="55000"/>
    <n v="0"/>
    <n v="55000"/>
    <n v="110000"/>
  </r>
  <r>
    <n v="1005"/>
    <d v="2025-01-02T00:00:00"/>
    <x v="0"/>
    <x v="0"/>
    <s v="Accessories"/>
    <x v="4"/>
    <n v="10"/>
    <n v="2000"/>
    <n v="0"/>
    <n v="2000"/>
    <n v="20000"/>
  </r>
  <r>
    <n v="1006"/>
    <d v="2025-01-02T00:00:00"/>
    <x v="1"/>
    <x v="1"/>
    <s v="Electronics"/>
    <x v="0"/>
    <n v="4"/>
    <n v="12000"/>
    <n v="0.05"/>
    <n v="11400"/>
    <n v="45600"/>
  </r>
  <r>
    <n v="1007"/>
    <d v="2025-01-03T00:00:00"/>
    <x v="2"/>
    <x v="2"/>
    <s v="Electronics"/>
    <x v="1"/>
    <n v="1"/>
    <n v="15000"/>
    <n v="0"/>
    <n v="15000"/>
    <n v="15000"/>
  </r>
  <r>
    <n v="1008"/>
    <d v="2025-01-03T00:00:00"/>
    <x v="3"/>
    <x v="3"/>
    <s v="Accessories"/>
    <x v="2"/>
    <n v="25"/>
    <n v="800"/>
    <n v="0.15"/>
    <n v="680"/>
    <n v="17000"/>
  </r>
  <r>
    <n v="1009"/>
    <d v="2025-01-03T00:00:00"/>
    <x v="0"/>
    <x v="0"/>
    <s v="Electronics"/>
    <x v="3"/>
    <n v="1"/>
    <n v="55000"/>
    <n v="0"/>
    <n v="55000"/>
    <n v="55000"/>
  </r>
  <r>
    <n v="1010"/>
    <d v="2025-01-03T00:00:00"/>
    <x v="1"/>
    <x v="1"/>
    <s v="Accessories"/>
    <x v="4"/>
    <n v="15"/>
    <n v="2000"/>
    <n v="0.1"/>
    <n v="1800"/>
    <n v="27000"/>
  </r>
  <r>
    <n v="1011"/>
    <d v="2025-01-04T00:00:00"/>
    <x v="2"/>
    <x v="2"/>
    <s v="Electronics"/>
    <x v="0"/>
    <n v="6"/>
    <n v="12000"/>
    <n v="0"/>
    <n v="12000"/>
    <n v="72000"/>
  </r>
  <r>
    <n v="1012"/>
    <d v="2025-01-04T00:00:00"/>
    <x v="3"/>
    <x v="3"/>
    <s v="Electronics"/>
    <x v="1"/>
    <n v="5"/>
    <n v="15000"/>
    <n v="0.05"/>
    <n v="14250"/>
    <n v="71250"/>
  </r>
  <r>
    <n v="1013"/>
    <d v="2025-01-04T00:00:00"/>
    <x v="0"/>
    <x v="0"/>
    <s v="Accessories"/>
    <x v="2"/>
    <n v="30"/>
    <n v="800"/>
    <n v="0.1"/>
    <n v="720"/>
    <n v="21600"/>
  </r>
  <r>
    <n v="1014"/>
    <d v="2025-01-05T00:00:00"/>
    <x v="1"/>
    <x v="1"/>
    <s v="Electronics"/>
    <x v="3"/>
    <n v="2"/>
    <n v="55000"/>
    <n v="0"/>
    <n v="55000"/>
    <n v="110000"/>
  </r>
  <r>
    <n v="1015"/>
    <d v="2025-01-05T00:00:00"/>
    <x v="2"/>
    <x v="2"/>
    <s v="Accessories"/>
    <x v="4"/>
    <n v="8"/>
    <n v="2000"/>
    <n v="0"/>
    <n v="2000"/>
    <n v="16000"/>
  </r>
  <r>
    <n v="1016"/>
    <d v="2025-01-05T00:00:00"/>
    <x v="3"/>
    <x v="3"/>
    <s v="Electronics"/>
    <x v="0"/>
    <n v="4"/>
    <n v="12000"/>
    <n v="0"/>
    <n v="12000"/>
    <n v="48000"/>
  </r>
  <r>
    <n v="1017"/>
    <d v="2025-01-06T00:00:00"/>
    <x v="0"/>
    <x v="0"/>
    <s v="Electronics"/>
    <x v="1"/>
    <n v="3"/>
    <n v="15000"/>
    <n v="0"/>
    <n v="15000"/>
    <n v="45000"/>
  </r>
  <r>
    <n v="1018"/>
    <d v="2025-01-06T00:00:00"/>
    <x v="1"/>
    <x v="1"/>
    <s v="Accessories"/>
    <x v="2"/>
    <n v="35"/>
    <n v="800"/>
    <n v="0.2"/>
    <n v="640"/>
    <n v="22400"/>
  </r>
  <r>
    <n v="1019"/>
    <d v="2025-01-06T00:00:00"/>
    <x v="2"/>
    <x v="2"/>
    <s v="Electronics"/>
    <x v="3"/>
    <n v="1"/>
    <n v="55000"/>
    <n v="0"/>
    <n v="55000"/>
    <n v="55000"/>
  </r>
  <r>
    <n v="1020"/>
    <d v="2025-01-06T00:00:00"/>
    <x v="3"/>
    <x v="3"/>
    <s v="Accessories"/>
    <x v="4"/>
    <n v="1"/>
    <n v="2000"/>
    <n v="0.1"/>
    <n v="1800"/>
    <n v="1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B012E-FDFF-4C61-9065-0A62B67A54AC}"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1">
    <pivotField showAll="0"/>
    <pivotField numFmtId="14" showAll="0"/>
    <pivotField axis="axisRow" showAll="0">
      <items count="6">
        <item x="2"/>
        <item x="0"/>
        <item x="1"/>
        <item x="3"/>
        <item m="1" x="4"/>
        <item t="default"/>
      </items>
    </pivotField>
    <pivotField showAll="0">
      <items count="6">
        <item x="1"/>
        <item x="0"/>
        <item x="2"/>
        <item x="3"/>
        <item m="1" x="4"/>
        <item t="default"/>
      </items>
    </pivotField>
    <pivotField showAll="0"/>
    <pivotField showAll="0">
      <items count="7">
        <item x="2"/>
        <item x="4"/>
        <item x="3"/>
        <item x="0"/>
        <item x="1"/>
        <item m="1" x="5"/>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Revenue" fld="10" baseField="0" baseItem="0"/>
  </dataField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3FC1E-56C9-4B8C-A6DB-77073A83979C}" name="PivotTable6"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showAll="0"/>
    <pivotField numFmtId="14" showAll="0"/>
    <pivotField showAll="0">
      <items count="6">
        <item x="2"/>
        <item x="0"/>
        <item x="1"/>
        <item x="3"/>
        <item m="1" x="4"/>
        <item t="default"/>
      </items>
    </pivotField>
    <pivotField showAll="0">
      <items count="6">
        <item x="1"/>
        <item x="0"/>
        <item x="2"/>
        <item x="3"/>
        <item m="1" x="4"/>
        <item t="default"/>
      </items>
    </pivotField>
    <pivotField showAll="0"/>
    <pivotField axis="axisRow" showAll="0">
      <items count="7">
        <item x="2"/>
        <item x="4"/>
        <item x="3"/>
        <item x="0"/>
        <item x="1"/>
        <item m="1" x="5"/>
        <item t="default"/>
      </items>
    </pivotField>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2334D6-1502-449D-903E-6AC485A3C9B5}" name="PivotTable7"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1">
    <pivotField showAll="0"/>
    <pivotField numFmtId="14" showAll="0"/>
    <pivotField showAll="0">
      <items count="6">
        <item x="2"/>
        <item x="0"/>
        <item x="1"/>
        <item x="3"/>
        <item m="1" x="4"/>
        <item t="default"/>
      </items>
    </pivotField>
    <pivotField axis="axisRow" showAll="0">
      <items count="6">
        <item x="1"/>
        <item x="0"/>
        <item x="2"/>
        <item x="3"/>
        <item m="1" x="4"/>
        <item t="default"/>
      </items>
    </pivotField>
    <pivotField showAll="0"/>
    <pivotField showAll="0">
      <items count="7">
        <item x="2"/>
        <item x="4"/>
        <item x="3"/>
        <item x="0"/>
        <item x="1"/>
        <item m="1" x="5"/>
        <item t="default"/>
      </items>
    </pivotField>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Revenue" fld="1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7A72F0-F0BC-488D-92A7-B3C63A5E4576}" sourceName="Region">
  <pivotTables>
    <pivotTable tabId="5" name="PivotTable7"/>
    <pivotTable tabId="4" name="PivotTable6"/>
    <pivotTable tabId="2" name="PivotTable3"/>
  </pivotTables>
  <data>
    <tabular pivotCacheId="1329766847">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1883DCCD-774E-4F50-A9EC-DC11B40A49DA}" sourceName="Store">
  <pivotTables>
    <pivotTable tabId="5" name="PivotTable7"/>
    <pivotTable tabId="4" name="PivotTable6"/>
    <pivotTable tabId="2" name="PivotTable3"/>
  </pivotTables>
  <data>
    <tabular pivotCacheId="1329766847">
      <items count="5">
        <i x="1" s="1"/>
        <i x="0"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225419-7C22-4E5C-BF20-A9504FD4EEE2}" sourceName="Product">
  <pivotTables>
    <pivotTable tabId="4" name="PivotTable6"/>
    <pivotTable tabId="2" name="PivotTable3"/>
    <pivotTable tabId="5" name="PivotTable7"/>
  </pivotTables>
  <data>
    <tabular pivotCacheId="1329766847">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874F78-5562-4F80-AC89-B03402666ADE}" cache="Slicer_Region" caption="Region" rowHeight="198966"/>
  <slicer name="Store" xr10:uid="{25E779CA-648C-46BA-A6D6-849426695EAF}" cache="Slicer_Store" caption="Store" rowHeight="198966"/>
  <slicer name="Product" xr10:uid="{92329DC0-4A4C-480E-8421-0BCAC6BCF9E4}" cache="Slicer_Product" caption="Product" rowHeight="1989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C9188D-AB2B-438C-96EC-2C28E9B17613}" name="Table1" displayName="Table1" ref="A1:K21" totalsRowShown="0">
  <autoFilter ref="A1:K21" xr:uid="{26C9188D-AB2B-438C-96EC-2C28E9B17613}"/>
  <tableColumns count="11">
    <tableColumn id="1" xr3:uid="{6CE2548B-579B-4CB4-8E95-B96C07645AE4}" name="OrderID"/>
    <tableColumn id="2" xr3:uid="{67E8FFE7-23C0-498F-91C1-CE051F8DCBEA}" name="Date" dataDxfId="2"/>
    <tableColumn id="3" xr3:uid="{7A215237-7A4A-4505-8DAC-074896B35D3F}" name="Region"/>
    <tableColumn id="4" xr3:uid="{F8AC37DF-3D7B-44CE-B220-367D70B7A96E}" name="Store"/>
    <tableColumn id="5" xr3:uid="{E4EA913D-E281-4E82-9C3A-E9D53F0A72D1}" name="Category"/>
    <tableColumn id="6" xr3:uid="{D8B54031-17CF-4C7D-B4E5-9A3C9E5DC629}" name="Product"/>
    <tableColumn id="7" xr3:uid="{B0204D19-4D65-4C48-8C72-30A5F37AADB7}" name="Units_Sold"/>
    <tableColumn id="8" xr3:uid="{CC147A63-67AC-454E-8C4F-038FD08F9F6A}" name="Price"/>
    <tableColumn id="9" xr3:uid="{B5EF3C42-D2F8-49B0-9667-AC57AD0B49B8}" name="Discount"/>
    <tableColumn id="10" xr3:uid="{1F99DAD1-0537-4E70-A88C-94F56D8D18C8}" name="Net Price " dataDxfId="1">
      <calculatedColumnFormula>Table1[[#This Row],[Price]]*(1-Table1[[#This Row],[Discount]])</calculatedColumnFormula>
    </tableColumn>
    <tableColumn id="11" xr3:uid="{AE6B7BA9-9E1E-45E7-9E68-78B824BD2958}" name="Revenue" dataDxfId="0">
      <calculatedColumnFormula>Table1[[#This Row],[Units_Sold]]*Table1[[#This Row],[Net Price ]]</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A2A7-585D-464D-99B8-71375371C8F6}">
  <dimension ref="A3:B8"/>
  <sheetViews>
    <sheetView workbookViewId="0">
      <selection activeCell="A8" sqref="A8"/>
    </sheetView>
  </sheetViews>
  <sheetFormatPr defaultRowHeight="11.5" x14ac:dyDescent="0.25"/>
  <cols>
    <col min="1" max="1" width="13.296875" bestFit="1" customWidth="1"/>
    <col min="2" max="2" width="15.59765625" bestFit="1" customWidth="1"/>
    <col min="3" max="3" width="17.19921875" bestFit="1" customWidth="1"/>
  </cols>
  <sheetData>
    <row r="3" spans="1:2" x14ac:dyDescent="0.25">
      <c r="A3" s="2" t="s">
        <v>26</v>
      </c>
      <c r="B3" t="s">
        <v>28</v>
      </c>
    </row>
    <row r="4" spans="1:2" x14ac:dyDescent="0.25">
      <c r="A4" s="3" t="s">
        <v>16</v>
      </c>
      <c r="B4" s="5">
        <v>172400</v>
      </c>
    </row>
    <row r="5" spans="1:2" x14ac:dyDescent="0.25">
      <c r="A5" s="3" t="s">
        <v>9</v>
      </c>
      <c r="B5" s="5">
        <v>201600</v>
      </c>
    </row>
    <row r="6" spans="1:2" x14ac:dyDescent="0.25">
      <c r="A6" s="3" t="s">
        <v>13</v>
      </c>
      <c r="B6" s="5">
        <v>247750</v>
      </c>
    </row>
    <row r="7" spans="1:2" x14ac:dyDescent="0.25">
      <c r="A7" s="3" t="s">
        <v>20</v>
      </c>
      <c r="B7" s="5">
        <v>248050</v>
      </c>
    </row>
    <row r="8" spans="1:2" x14ac:dyDescent="0.25">
      <c r="A8" s="3" t="s">
        <v>27</v>
      </c>
      <c r="B8" s="5">
        <v>869800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D7C82-D544-41CC-B9AD-ED7F1641C4D0}">
  <dimension ref="A3:B9"/>
  <sheetViews>
    <sheetView workbookViewId="0">
      <selection activeCell="M16" sqref="M16"/>
    </sheetView>
  </sheetViews>
  <sheetFormatPr defaultRowHeight="11.5" x14ac:dyDescent="0.25"/>
  <cols>
    <col min="1" max="1" width="13.296875" bestFit="1" customWidth="1"/>
    <col min="2" max="2" width="15.59765625" bestFit="1" customWidth="1"/>
  </cols>
  <sheetData>
    <row r="3" spans="1:2" x14ac:dyDescent="0.25">
      <c r="A3" s="2" t="s">
        <v>26</v>
      </c>
      <c r="B3" t="s">
        <v>28</v>
      </c>
    </row>
    <row r="4" spans="1:2" x14ac:dyDescent="0.25">
      <c r="A4" s="3" t="s">
        <v>19</v>
      </c>
      <c r="B4" s="5">
        <v>75400</v>
      </c>
    </row>
    <row r="5" spans="1:2" x14ac:dyDescent="0.25">
      <c r="A5" s="3" t="s">
        <v>23</v>
      </c>
      <c r="B5" s="5">
        <v>64800</v>
      </c>
    </row>
    <row r="6" spans="1:2" x14ac:dyDescent="0.25">
      <c r="A6" s="3" t="s">
        <v>22</v>
      </c>
      <c r="B6" s="5">
        <v>330000</v>
      </c>
    </row>
    <row r="7" spans="1:2" x14ac:dyDescent="0.25">
      <c r="A7" s="3" t="s">
        <v>12</v>
      </c>
      <c r="B7" s="5">
        <v>225600</v>
      </c>
    </row>
    <row r="8" spans="1:2" x14ac:dyDescent="0.25">
      <c r="A8" s="3" t="s">
        <v>15</v>
      </c>
      <c r="B8" s="5">
        <v>174000</v>
      </c>
    </row>
    <row r="9" spans="1:2" x14ac:dyDescent="0.25">
      <c r="A9" s="3" t="s">
        <v>27</v>
      </c>
      <c r="B9" s="5">
        <v>869800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5E3A-834C-49D8-8955-E3857D1BF570}">
  <dimension ref="A3:B8"/>
  <sheetViews>
    <sheetView workbookViewId="0">
      <selection activeCell="B3" sqref="B3"/>
    </sheetView>
  </sheetViews>
  <sheetFormatPr defaultRowHeight="11.5" x14ac:dyDescent="0.25"/>
  <cols>
    <col min="1" max="1" width="13.296875" bestFit="1" customWidth="1"/>
    <col min="2" max="2" width="15.59765625" bestFit="1" customWidth="1"/>
  </cols>
  <sheetData>
    <row r="3" spans="1:2" x14ac:dyDescent="0.25">
      <c r="A3" s="2" t="s">
        <v>26</v>
      </c>
      <c r="B3" t="s">
        <v>28</v>
      </c>
    </row>
    <row r="4" spans="1:2" x14ac:dyDescent="0.25">
      <c r="A4" s="3" t="s">
        <v>14</v>
      </c>
      <c r="B4" s="5">
        <v>247750</v>
      </c>
    </row>
    <row r="5" spans="1:2" x14ac:dyDescent="0.25">
      <c r="A5" s="3" t="s">
        <v>10</v>
      </c>
      <c r="B5" s="5">
        <v>201600</v>
      </c>
    </row>
    <row r="6" spans="1:2" x14ac:dyDescent="0.25">
      <c r="A6" s="3" t="s">
        <v>17</v>
      </c>
      <c r="B6" s="5">
        <v>172400</v>
      </c>
    </row>
    <row r="7" spans="1:2" x14ac:dyDescent="0.25">
      <c r="A7" s="3" t="s">
        <v>21</v>
      </c>
      <c r="B7" s="5">
        <v>248050</v>
      </c>
    </row>
    <row r="8" spans="1:2" x14ac:dyDescent="0.25">
      <c r="A8" s="3" t="s">
        <v>27</v>
      </c>
      <c r="B8" s="5">
        <v>869800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A2FB1-4CC2-4519-B704-3800CCF59FA2}">
  <dimension ref="A1:AB76"/>
  <sheetViews>
    <sheetView showGridLines="0" tabSelected="1" zoomScale="69" zoomScaleNormal="87" workbookViewId="0">
      <selection sqref="A1:AB4"/>
    </sheetView>
  </sheetViews>
  <sheetFormatPr defaultRowHeight="11.5" x14ac:dyDescent="0.25"/>
  <sheetData>
    <row r="1" spans="1:28" x14ac:dyDescent="0.25">
      <c r="A1" s="6" t="s">
        <v>29</v>
      </c>
      <c r="B1" s="6"/>
      <c r="C1" s="6"/>
      <c r="D1" s="6"/>
      <c r="E1" s="6"/>
      <c r="F1" s="6"/>
      <c r="G1" s="6"/>
      <c r="H1" s="6"/>
      <c r="I1" s="6"/>
      <c r="J1" s="6"/>
      <c r="K1" s="6"/>
      <c r="L1" s="6"/>
      <c r="M1" s="6"/>
      <c r="N1" s="6"/>
      <c r="O1" s="6"/>
      <c r="P1" s="6"/>
      <c r="Q1" s="6"/>
      <c r="R1" s="6"/>
      <c r="S1" s="6"/>
      <c r="T1" s="6"/>
      <c r="U1" s="6"/>
      <c r="V1" s="6"/>
      <c r="W1" s="6"/>
      <c r="X1" s="6"/>
      <c r="Y1" s="6"/>
      <c r="Z1" s="6"/>
      <c r="AA1" s="6"/>
      <c r="AB1" s="6"/>
    </row>
    <row r="2" spans="1:28" x14ac:dyDescent="0.25">
      <c r="A2" s="6"/>
      <c r="B2" s="6"/>
      <c r="C2" s="6"/>
      <c r="D2" s="6"/>
      <c r="E2" s="6"/>
      <c r="F2" s="6"/>
      <c r="G2" s="6"/>
      <c r="H2" s="6"/>
      <c r="I2" s="6"/>
      <c r="J2" s="6"/>
      <c r="K2" s="6"/>
      <c r="L2" s="6"/>
      <c r="M2" s="6"/>
      <c r="N2" s="6"/>
      <c r="O2" s="6"/>
      <c r="P2" s="6"/>
      <c r="Q2" s="6"/>
      <c r="R2" s="6"/>
      <c r="S2" s="6"/>
      <c r="T2" s="6"/>
      <c r="U2" s="6"/>
      <c r="V2" s="6"/>
      <c r="W2" s="6"/>
      <c r="X2" s="6"/>
      <c r="Y2" s="6"/>
      <c r="Z2" s="6"/>
      <c r="AA2" s="6"/>
      <c r="AB2" s="6"/>
    </row>
    <row r="3" spans="1:28" x14ac:dyDescent="0.25">
      <c r="A3" s="6"/>
      <c r="B3" s="6"/>
      <c r="C3" s="6"/>
      <c r="D3" s="6"/>
      <c r="E3" s="6"/>
      <c r="F3" s="6"/>
      <c r="G3" s="6"/>
      <c r="H3" s="6"/>
      <c r="I3" s="6"/>
      <c r="J3" s="6"/>
      <c r="K3" s="6"/>
      <c r="L3" s="6"/>
      <c r="M3" s="6"/>
      <c r="N3" s="6"/>
      <c r="O3" s="6"/>
      <c r="P3" s="6"/>
      <c r="Q3" s="6"/>
      <c r="R3" s="6"/>
      <c r="S3" s="6"/>
      <c r="T3" s="6"/>
      <c r="U3" s="6"/>
      <c r="V3" s="6"/>
      <c r="W3" s="6"/>
      <c r="X3" s="6"/>
      <c r="Y3" s="6"/>
      <c r="Z3" s="6"/>
      <c r="AA3" s="6"/>
      <c r="AB3" s="6"/>
    </row>
    <row r="4" spans="1:28" x14ac:dyDescent="0.25">
      <c r="A4" s="6"/>
      <c r="B4" s="6"/>
      <c r="C4" s="6"/>
      <c r="D4" s="6"/>
      <c r="E4" s="6"/>
      <c r="F4" s="6"/>
      <c r="G4" s="6"/>
      <c r="H4" s="6"/>
      <c r="I4" s="6"/>
      <c r="J4" s="6"/>
      <c r="K4" s="6"/>
      <c r="L4" s="6"/>
      <c r="M4" s="6"/>
      <c r="N4" s="6"/>
      <c r="O4" s="6"/>
      <c r="P4" s="6"/>
      <c r="Q4" s="6"/>
      <c r="R4" s="6"/>
      <c r="S4" s="6"/>
      <c r="T4" s="6"/>
      <c r="U4" s="6"/>
      <c r="V4" s="6"/>
      <c r="W4" s="6"/>
      <c r="X4" s="6"/>
      <c r="Y4" s="6"/>
      <c r="Z4" s="6"/>
      <c r="AA4" s="6"/>
      <c r="AB4" s="6"/>
    </row>
    <row r="5" spans="1:28" x14ac:dyDescent="0.2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25">
      <c r="A6" s="4"/>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25">
      <c r="A7" s="4"/>
      <c r="B7" s="4"/>
      <c r="C7" s="4"/>
      <c r="D7" s="4"/>
      <c r="E7" s="4"/>
      <c r="F7" s="4"/>
      <c r="G7" s="4"/>
      <c r="H7" s="4"/>
      <c r="I7" s="4"/>
      <c r="J7" s="4"/>
      <c r="K7" s="4"/>
      <c r="L7" s="4"/>
      <c r="M7" s="4"/>
      <c r="N7" s="4"/>
      <c r="O7" s="4"/>
      <c r="P7" s="4"/>
      <c r="Q7" s="4"/>
      <c r="R7" s="4"/>
      <c r="S7" s="4"/>
      <c r="T7" s="4"/>
      <c r="U7" s="4"/>
      <c r="V7" s="4"/>
      <c r="W7" s="4"/>
      <c r="X7" s="4"/>
      <c r="Y7" s="4"/>
      <c r="Z7" s="4"/>
      <c r="AA7" s="4"/>
      <c r="AB7" s="4"/>
    </row>
    <row r="8" spans="1:28" x14ac:dyDescent="0.25">
      <c r="A8" s="4"/>
      <c r="B8" s="4"/>
      <c r="C8" s="4"/>
      <c r="D8" s="4"/>
      <c r="E8" s="4"/>
      <c r="F8" s="4"/>
      <c r="G8" s="4"/>
      <c r="H8" s="4"/>
      <c r="I8" s="4"/>
      <c r="J8" s="4"/>
      <c r="K8" s="4"/>
      <c r="L8" s="4"/>
      <c r="M8" s="4"/>
      <c r="N8" s="4"/>
      <c r="O8" s="4"/>
      <c r="P8" s="4"/>
      <c r="Q8" s="4"/>
      <c r="R8" s="4"/>
      <c r="S8" s="4"/>
      <c r="T8" s="4"/>
      <c r="U8" s="4"/>
      <c r="V8" s="4"/>
      <c r="W8" s="4"/>
      <c r="X8" s="4"/>
      <c r="Y8" s="4"/>
      <c r="Z8" s="4"/>
      <c r="AA8" s="4"/>
      <c r="AB8" s="4"/>
    </row>
    <row r="9" spans="1:28" x14ac:dyDescent="0.25">
      <c r="A9" s="4"/>
      <c r="B9" s="4"/>
      <c r="C9" s="4"/>
      <c r="D9" s="4"/>
      <c r="E9" s="4"/>
      <c r="F9" s="4"/>
      <c r="G9" s="4"/>
      <c r="H9" s="4"/>
      <c r="I9" s="4"/>
      <c r="J9" s="4"/>
      <c r="K9" s="4"/>
      <c r="L9" s="4"/>
      <c r="M9" s="4"/>
      <c r="N9" s="4"/>
      <c r="O9" s="4"/>
      <c r="P9" s="4"/>
      <c r="Q9" s="4"/>
      <c r="R9" s="4"/>
      <c r="S9" s="4"/>
      <c r="T9" s="4"/>
      <c r="U9" s="4"/>
      <c r="V9" s="4"/>
      <c r="W9" s="4"/>
      <c r="X9" s="4"/>
      <c r="Y9" s="4"/>
      <c r="Z9" s="4"/>
      <c r="AA9" s="4"/>
      <c r="AB9" s="4"/>
    </row>
    <row r="10" spans="1:2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sheetData>
  <mergeCells count="1">
    <mergeCell ref="A1:AB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593B1-E43C-46BC-BE5A-CD565A4F05D6}">
  <dimension ref="A1:K22"/>
  <sheetViews>
    <sheetView zoomScale="105" workbookViewId="0">
      <selection activeCell="L23" sqref="L23"/>
    </sheetView>
  </sheetViews>
  <sheetFormatPr defaultRowHeight="11.5" x14ac:dyDescent="0.25"/>
  <cols>
    <col min="1" max="1" width="9.59765625" customWidth="1"/>
    <col min="2" max="2" width="13.3984375" customWidth="1"/>
    <col min="3" max="3" width="9" customWidth="1"/>
    <col min="5" max="5" width="12.69921875" customWidth="1"/>
    <col min="6" max="7" width="12.19921875" customWidth="1"/>
    <col min="9" max="9" width="10.8984375" bestFit="1" customWidth="1"/>
    <col min="10" max="10" width="10.5" customWidth="1"/>
  </cols>
  <sheetData>
    <row r="1" spans="1:11" x14ac:dyDescent="0.25">
      <c r="A1" t="s">
        <v>0</v>
      </c>
      <c r="B1" t="s">
        <v>1</v>
      </c>
      <c r="C1" t="s">
        <v>2</v>
      </c>
      <c r="D1" t="s">
        <v>3</v>
      </c>
      <c r="E1" t="s">
        <v>4</v>
      </c>
      <c r="F1" t="s">
        <v>5</v>
      </c>
      <c r="G1" t="s">
        <v>6</v>
      </c>
      <c r="H1" t="s">
        <v>7</v>
      </c>
      <c r="I1" t="s">
        <v>8</v>
      </c>
      <c r="J1" t="s">
        <v>24</v>
      </c>
      <c r="K1" t="s">
        <v>25</v>
      </c>
    </row>
    <row r="2" spans="1:11" x14ac:dyDescent="0.25">
      <c r="A2">
        <v>1001</v>
      </c>
      <c r="B2" s="1">
        <v>45658</v>
      </c>
      <c r="C2" t="s">
        <v>9</v>
      </c>
      <c r="D2" t="s">
        <v>10</v>
      </c>
      <c r="E2" t="s">
        <v>11</v>
      </c>
      <c r="F2" t="s">
        <v>12</v>
      </c>
      <c r="G2">
        <v>5</v>
      </c>
      <c r="H2">
        <v>12000</v>
      </c>
      <c r="I2">
        <v>0</v>
      </c>
      <c r="J2">
        <f>Table1[[#This Row],[Price]]*(1-Table1[[#This Row],[Discount]])</f>
        <v>12000</v>
      </c>
      <c r="K2">
        <f>Table1[[#This Row],[Units_Sold]]*Table1[[#This Row],[Net Price ]]</f>
        <v>60000</v>
      </c>
    </row>
    <row r="3" spans="1:11" x14ac:dyDescent="0.25">
      <c r="A3">
        <v>1002</v>
      </c>
      <c r="B3" s="1">
        <v>45658</v>
      </c>
      <c r="C3" t="s">
        <v>13</v>
      </c>
      <c r="D3" t="s">
        <v>14</v>
      </c>
      <c r="E3" t="s">
        <v>11</v>
      </c>
      <c r="F3" t="s">
        <v>15</v>
      </c>
      <c r="G3">
        <v>3</v>
      </c>
      <c r="H3">
        <v>15000</v>
      </c>
      <c r="I3">
        <v>0.05</v>
      </c>
      <c r="J3">
        <f>Table1[[#This Row],[Price]]*(1-Table1[[#This Row],[Discount]])</f>
        <v>14250</v>
      </c>
      <c r="K3">
        <f>Table1[[#This Row],[Units_Sold]]*Table1[[#This Row],[Net Price ]]</f>
        <v>42750</v>
      </c>
    </row>
    <row r="4" spans="1:11" x14ac:dyDescent="0.25">
      <c r="A4">
        <v>1003</v>
      </c>
      <c r="B4" s="1">
        <v>45658</v>
      </c>
      <c r="C4" t="s">
        <v>16</v>
      </c>
      <c r="D4" t="s">
        <v>17</v>
      </c>
      <c r="E4" t="s">
        <v>18</v>
      </c>
      <c r="F4" t="s">
        <v>19</v>
      </c>
      <c r="G4">
        <v>20</v>
      </c>
      <c r="H4">
        <v>800</v>
      </c>
      <c r="I4">
        <v>0.1</v>
      </c>
      <c r="J4">
        <f>Table1[[#This Row],[Price]]*(1-Table1[[#This Row],[Discount]])</f>
        <v>720</v>
      </c>
      <c r="K4">
        <f>Table1[[#This Row],[Units_Sold]]*Table1[[#This Row],[Net Price ]]</f>
        <v>14400</v>
      </c>
    </row>
    <row r="5" spans="1:11" x14ac:dyDescent="0.25">
      <c r="A5">
        <v>1004</v>
      </c>
      <c r="B5" s="1">
        <v>45659</v>
      </c>
      <c r="C5" t="s">
        <v>20</v>
      </c>
      <c r="D5" t="s">
        <v>21</v>
      </c>
      <c r="E5" t="s">
        <v>11</v>
      </c>
      <c r="F5" t="s">
        <v>22</v>
      </c>
      <c r="G5">
        <v>2</v>
      </c>
      <c r="H5">
        <v>55000</v>
      </c>
      <c r="I5">
        <v>0</v>
      </c>
      <c r="J5">
        <f>Table1[[#This Row],[Price]]*(1-Table1[[#This Row],[Discount]])</f>
        <v>55000</v>
      </c>
      <c r="K5">
        <f>Table1[[#This Row],[Units_Sold]]*Table1[[#This Row],[Net Price ]]</f>
        <v>110000</v>
      </c>
    </row>
    <row r="6" spans="1:11" x14ac:dyDescent="0.25">
      <c r="A6">
        <v>1005</v>
      </c>
      <c r="B6" s="1">
        <v>45659</v>
      </c>
      <c r="C6" t="s">
        <v>9</v>
      </c>
      <c r="D6" t="s">
        <v>10</v>
      </c>
      <c r="E6" t="s">
        <v>18</v>
      </c>
      <c r="F6" t="s">
        <v>23</v>
      </c>
      <c r="G6">
        <v>10</v>
      </c>
      <c r="H6">
        <v>2000</v>
      </c>
      <c r="I6">
        <v>0</v>
      </c>
      <c r="J6">
        <f>Table1[[#This Row],[Price]]*(1-Table1[[#This Row],[Discount]])</f>
        <v>2000</v>
      </c>
      <c r="K6">
        <f>Table1[[#This Row],[Units_Sold]]*Table1[[#This Row],[Net Price ]]</f>
        <v>20000</v>
      </c>
    </row>
    <row r="7" spans="1:11" x14ac:dyDescent="0.25">
      <c r="A7">
        <v>1006</v>
      </c>
      <c r="B7" s="1">
        <v>45659</v>
      </c>
      <c r="C7" t="s">
        <v>13</v>
      </c>
      <c r="D7" t="s">
        <v>14</v>
      </c>
      <c r="E7" t="s">
        <v>11</v>
      </c>
      <c r="F7" t="s">
        <v>12</v>
      </c>
      <c r="G7">
        <v>4</v>
      </c>
      <c r="H7">
        <v>12000</v>
      </c>
      <c r="I7">
        <v>0.05</v>
      </c>
      <c r="J7">
        <f>Table1[[#This Row],[Price]]*(1-Table1[[#This Row],[Discount]])</f>
        <v>11400</v>
      </c>
      <c r="K7">
        <f>Table1[[#This Row],[Units_Sold]]*Table1[[#This Row],[Net Price ]]</f>
        <v>45600</v>
      </c>
    </row>
    <row r="8" spans="1:11" x14ac:dyDescent="0.25">
      <c r="A8">
        <v>1007</v>
      </c>
      <c r="B8" s="1">
        <v>45660</v>
      </c>
      <c r="C8" t="s">
        <v>16</v>
      </c>
      <c r="D8" t="s">
        <v>17</v>
      </c>
      <c r="E8" t="s">
        <v>11</v>
      </c>
      <c r="F8" t="s">
        <v>15</v>
      </c>
      <c r="G8">
        <v>1</v>
      </c>
      <c r="H8">
        <v>15000</v>
      </c>
      <c r="I8">
        <v>0</v>
      </c>
      <c r="J8">
        <f>Table1[[#This Row],[Price]]*(1-Table1[[#This Row],[Discount]])</f>
        <v>15000</v>
      </c>
      <c r="K8">
        <f>Table1[[#This Row],[Units_Sold]]*Table1[[#This Row],[Net Price ]]</f>
        <v>15000</v>
      </c>
    </row>
    <row r="9" spans="1:11" x14ac:dyDescent="0.25">
      <c r="A9">
        <v>1008</v>
      </c>
      <c r="B9" s="1">
        <v>45660</v>
      </c>
      <c r="C9" t="s">
        <v>20</v>
      </c>
      <c r="D9" t="s">
        <v>21</v>
      </c>
      <c r="E9" t="s">
        <v>18</v>
      </c>
      <c r="F9" t="s">
        <v>19</v>
      </c>
      <c r="G9">
        <v>25</v>
      </c>
      <c r="H9">
        <v>800</v>
      </c>
      <c r="I9">
        <v>0.15</v>
      </c>
      <c r="J9">
        <f>Table1[[#This Row],[Price]]*(1-Table1[[#This Row],[Discount]])</f>
        <v>680</v>
      </c>
      <c r="K9">
        <f>Table1[[#This Row],[Units_Sold]]*Table1[[#This Row],[Net Price ]]</f>
        <v>17000</v>
      </c>
    </row>
    <row r="10" spans="1:11" x14ac:dyDescent="0.25">
      <c r="A10">
        <v>1009</v>
      </c>
      <c r="B10" s="1">
        <v>45660</v>
      </c>
      <c r="C10" t="s">
        <v>9</v>
      </c>
      <c r="D10" t="s">
        <v>10</v>
      </c>
      <c r="E10" t="s">
        <v>11</v>
      </c>
      <c r="F10" t="s">
        <v>22</v>
      </c>
      <c r="G10">
        <v>1</v>
      </c>
      <c r="H10">
        <v>55000</v>
      </c>
      <c r="I10">
        <v>0</v>
      </c>
      <c r="J10">
        <f>Table1[[#This Row],[Price]]*(1-Table1[[#This Row],[Discount]])</f>
        <v>55000</v>
      </c>
      <c r="K10">
        <f>Table1[[#This Row],[Units_Sold]]*Table1[[#This Row],[Net Price ]]</f>
        <v>55000</v>
      </c>
    </row>
    <row r="11" spans="1:11" x14ac:dyDescent="0.25">
      <c r="A11">
        <v>1010</v>
      </c>
      <c r="B11" s="1">
        <v>45660</v>
      </c>
      <c r="C11" t="s">
        <v>13</v>
      </c>
      <c r="D11" t="s">
        <v>14</v>
      </c>
      <c r="E11" t="s">
        <v>18</v>
      </c>
      <c r="F11" t="s">
        <v>23</v>
      </c>
      <c r="G11">
        <v>15</v>
      </c>
      <c r="H11">
        <v>2000</v>
      </c>
      <c r="I11">
        <v>0.1</v>
      </c>
      <c r="J11">
        <f>Table1[[#This Row],[Price]]*(1-Table1[[#This Row],[Discount]])</f>
        <v>1800</v>
      </c>
      <c r="K11">
        <f>Table1[[#This Row],[Units_Sold]]*Table1[[#This Row],[Net Price ]]</f>
        <v>27000</v>
      </c>
    </row>
    <row r="12" spans="1:11" x14ac:dyDescent="0.25">
      <c r="A12">
        <v>1011</v>
      </c>
      <c r="B12" s="1">
        <v>45661</v>
      </c>
      <c r="C12" t="s">
        <v>16</v>
      </c>
      <c r="D12" t="s">
        <v>17</v>
      </c>
      <c r="E12" t="s">
        <v>11</v>
      </c>
      <c r="F12" t="s">
        <v>12</v>
      </c>
      <c r="G12">
        <v>6</v>
      </c>
      <c r="H12">
        <v>12000</v>
      </c>
      <c r="I12">
        <v>0</v>
      </c>
      <c r="J12">
        <f>Table1[[#This Row],[Price]]*(1-Table1[[#This Row],[Discount]])</f>
        <v>12000</v>
      </c>
      <c r="K12">
        <f>Table1[[#This Row],[Units_Sold]]*Table1[[#This Row],[Net Price ]]</f>
        <v>72000</v>
      </c>
    </row>
    <row r="13" spans="1:11" x14ac:dyDescent="0.25">
      <c r="A13">
        <v>1012</v>
      </c>
      <c r="B13" s="1">
        <v>45661</v>
      </c>
      <c r="C13" t="s">
        <v>20</v>
      </c>
      <c r="D13" t="s">
        <v>21</v>
      </c>
      <c r="E13" t="s">
        <v>11</v>
      </c>
      <c r="F13" t="s">
        <v>15</v>
      </c>
      <c r="G13">
        <v>5</v>
      </c>
      <c r="H13">
        <v>15000</v>
      </c>
      <c r="I13">
        <v>0.05</v>
      </c>
      <c r="J13">
        <f>Table1[[#This Row],[Price]]*(1-Table1[[#This Row],[Discount]])</f>
        <v>14250</v>
      </c>
      <c r="K13">
        <f>Table1[[#This Row],[Units_Sold]]*Table1[[#This Row],[Net Price ]]</f>
        <v>71250</v>
      </c>
    </row>
    <row r="14" spans="1:11" x14ac:dyDescent="0.25">
      <c r="A14">
        <v>1013</v>
      </c>
      <c r="B14" s="1">
        <v>45661</v>
      </c>
      <c r="C14" t="s">
        <v>9</v>
      </c>
      <c r="D14" t="s">
        <v>10</v>
      </c>
      <c r="E14" t="s">
        <v>18</v>
      </c>
      <c r="F14" t="s">
        <v>19</v>
      </c>
      <c r="G14">
        <v>30</v>
      </c>
      <c r="H14">
        <v>800</v>
      </c>
      <c r="I14">
        <v>0.1</v>
      </c>
      <c r="J14">
        <f>Table1[[#This Row],[Price]]*(1-Table1[[#This Row],[Discount]])</f>
        <v>720</v>
      </c>
      <c r="K14">
        <f>Table1[[#This Row],[Units_Sold]]*Table1[[#This Row],[Net Price ]]</f>
        <v>21600</v>
      </c>
    </row>
    <row r="15" spans="1:11" x14ac:dyDescent="0.25">
      <c r="A15">
        <v>1014</v>
      </c>
      <c r="B15" s="1">
        <v>45662</v>
      </c>
      <c r="C15" t="s">
        <v>13</v>
      </c>
      <c r="D15" t="s">
        <v>14</v>
      </c>
      <c r="E15" t="s">
        <v>11</v>
      </c>
      <c r="F15" t="s">
        <v>22</v>
      </c>
      <c r="G15">
        <v>2</v>
      </c>
      <c r="H15">
        <v>55000</v>
      </c>
      <c r="I15">
        <v>0</v>
      </c>
      <c r="J15">
        <f>Table1[[#This Row],[Price]]*(1-Table1[[#This Row],[Discount]])</f>
        <v>55000</v>
      </c>
      <c r="K15">
        <f>Table1[[#This Row],[Units_Sold]]*Table1[[#This Row],[Net Price ]]</f>
        <v>110000</v>
      </c>
    </row>
    <row r="16" spans="1:11" x14ac:dyDescent="0.25">
      <c r="A16">
        <v>1015</v>
      </c>
      <c r="B16" s="1">
        <v>45662</v>
      </c>
      <c r="C16" t="s">
        <v>16</v>
      </c>
      <c r="D16" t="s">
        <v>17</v>
      </c>
      <c r="E16" t="s">
        <v>18</v>
      </c>
      <c r="F16" t="s">
        <v>23</v>
      </c>
      <c r="G16">
        <v>8</v>
      </c>
      <c r="H16">
        <v>2000</v>
      </c>
      <c r="I16">
        <v>0</v>
      </c>
      <c r="J16">
        <f>Table1[[#This Row],[Price]]*(1-Table1[[#This Row],[Discount]])</f>
        <v>2000</v>
      </c>
      <c r="K16">
        <f>Table1[[#This Row],[Units_Sold]]*Table1[[#This Row],[Net Price ]]</f>
        <v>16000</v>
      </c>
    </row>
    <row r="17" spans="1:11" x14ac:dyDescent="0.25">
      <c r="A17">
        <v>1016</v>
      </c>
      <c r="B17" s="1">
        <v>45662</v>
      </c>
      <c r="C17" t="s">
        <v>20</v>
      </c>
      <c r="D17" t="s">
        <v>21</v>
      </c>
      <c r="E17" t="s">
        <v>11</v>
      </c>
      <c r="F17" t="s">
        <v>12</v>
      </c>
      <c r="G17">
        <v>4</v>
      </c>
      <c r="H17">
        <v>12000</v>
      </c>
      <c r="I17">
        <v>0</v>
      </c>
      <c r="J17">
        <f>Table1[[#This Row],[Price]]*(1-Table1[[#This Row],[Discount]])</f>
        <v>12000</v>
      </c>
      <c r="K17">
        <f>Table1[[#This Row],[Units_Sold]]*Table1[[#This Row],[Net Price ]]</f>
        <v>48000</v>
      </c>
    </row>
    <row r="18" spans="1:11" x14ac:dyDescent="0.25">
      <c r="A18">
        <v>1017</v>
      </c>
      <c r="B18" s="1">
        <v>45663</v>
      </c>
      <c r="C18" t="s">
        <v>9</v>
      </c>
      <c r="D18" t="s">
        <v>10</v>
      </c>
      <c r="E18" t="s">
        <v>11</v>
      </c>
      <c r="F18" t="s">
        <v>15</v>
      </c>
      <c r="G18">
        <v>3</v>
      </c>
      <c r="H18">
        <v>15000</v>
      </c>
      <c r="I18">
        <v>0</v>
      </c>
      <c r="J18">
        <f>Table1[[#This Row],[Price]]*(1-Table1[[#This Row],[Discount]])</f>
        <v>15000</v>
      </c>
      <c r="K18">
        <f>Table1[[#This Row],[Units_Sold]]*Table1[[#This Row],[Net Price ]]</f>
        <v>45000</v>
      </c>
    </row>
    <row r="19" spans="1:11" x14ac:dyDescent="0.25">
      <c r="A19">
        <v>1018</v>
      </c>
      <c r="B19" s="1">
        <v>45663</v>
      </c>
      <c r="C19" t="s">
        <v>13</v>
      </c>
      <c r="D19" t="s">
        <v>14</v>
      </c>
      <c r="E19" t="s">
        <v>18</v>
      </c>
      <c r="F19" t="s">
        <v>19</v>
      </c>
      <c r="G19">
        <v>35</v>
      </c>
      <c r="H19">
        <v>800</v>
      </c>
      <c r="I19">
        <v>0.2</v>
      </c>
      <c r="J19">
        <f>Table1[[#This Row],[Price]]*(1-Table1[[#This Row],[Discount]])</f>
        <v>640</v>
      </c>
      <c r="K19">
        <f>Table1[[#This Row],[Units_Sold]]*Table1[[#This Row],[Net Price ]]</f>
        <v>22400</v>
      </c>
    </row>
    <row r="20" spans="1:11" x14ac:dyDescent="0.25">
      <c r="A20">
        <v>1019</v>
      </c>
      <c r="B20" s="1">
        <v>45663</v>
      </c>
      <c r="C20" t="s">
        <v>16</v>
      </c>
      <c r="D20" t="s">
        <v>17</v>
      </c>
      <c r="E20" t="s">
        <v>11</v>
      </c>
      <c r="F20" t="s">
        <v>22</v>
      </c>
      <c r="G20">
        <v>1</v>
      </c>
      <c r="H20">
        <v>55000</v>
      </c>
      <c r="I20">
        <v>0</v>
      </c>
      <c r="J20">
        <f>Table1[[#This Row],[Price]]*(1-Table1[[#This Row],[Discount]])</f>
        <v>55000</v>
      </c>
      <c r="K20">
        <f>Table1[[#This Row],[Units_Sold]]*Table1[[#This Row],[Net Price ]]</f>
        <v>55000</v>
      </c>
    </row>
    <row r="21" spans="1:11" x14ac:dyDescent="0.25">
      <c r="A21">
        <v>1020</v>
      </c>
      <c r="B21" s="1">
        <v>45663</v>
      </c>
      <c r="C21" t="s">
        <v>20</v>
      </c>
      <c r="D21" t="s">
        <v>21</v>
      </c>
      <c r="E21" t="s">
        <v>18</v>
      </c>
      <c r="F21" t="s">
        <v>23</v>
      </c>
      <c r="G21">
        <v>1</v>
      </c>
      <c r="H21">
        <v>2000</v>
      </c>
      <c r="I21">
        <v>0.1</v>
      </c>
      <c r="J21">
        <f>Table1[[#This Row],[Price]]*(1-Table1[[#This Row],[Discount]])</f>
        <v>1800</v>
      </c>
      <c r="K21">
        <f>Table1[[#This Row],[Units_Sold]]*Table1[[#This Row],[Net Price ]]</f>
        <v>1800</v>
      </c>
    </row>
    <row r="22" spans="1:11" x14ac:dyDescent="0.25">
      <c r="B22" s="1"/>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Revenue by region</vt:lpstr>
      <vt:lpstr>Revenue by Product</vt:lpstr>
      <vt:lpstr>Revenue by store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Rathi</dc:creator>
  <cp:lastModifiedBy>Devesh Rathi</cp:lastModifiedBy>
  <dcterms:created xsi:type="dcterms:W3CDTF">2026-01-11T10:30:31Z</dcterms:created>
  <dcterms:modified xsi:type="dcterms:W3CDTF">2026-01-15T19:42:00Z</dcterms:modified>
</cp:coreProperties>
</file>